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ython\IRIS_docs\data\equipments\"/>
    </mc:Choice>
  </mc:AlternateContent>
  <xr:revisionPtr revIDLastSave="0" documentId="13_ncr:1_{2557D336-4BB7-454C-ACCD-2CCC63160393}" xr6:coauthVersionLast="47" xr6:coauthVersionMax="47" xr10:uidLastSave="{00000000-0000-0000-0000-000000000000}"/>
  <bookViews>
    <workbookView xWindow="1152" yWindow="192" windowWidth="38424" windowHeight="16488" xr2:uid="{00000000-000D-0000-FFFF-FFFF00000000}"/>
  </bookViews>
  <sheets>
    <sheet name="Equipmen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D17" i="1"/>
  <c r="I17" i="1" s="1"/>
  <c r="D16" i="1"/>
  <c r="I16" i="1" s="1"/>
  <c r="I15" i="1"/>
  <c r="D15" i="1"/>
  <c r="I14" i="1"/>
  <c r="D13" i="1"/>
  <c r="I13" i="1" s="1"/>
  <c r="I12" i="1"/>
  <c r="D12" i="1"/>
  <c r="D11" i="1"/>
  <c r="I11" i="1" s="1"/>
  <c r="I10" i="1"/>
  <c r="D9" i="1"/>
  <c r="I9" i="1" s="1"/>
  <c r="D8" i="1"/>
  <c r="I8" i="1" s="1"/>
  <c r="D7" i="1"/>
  <c r="I7" i="1" s="1"/>
  <c r="I6" i="1"/>
  <c r="D5" i="1"/>
  <c r="I5" i="1"/>
  <c r="D4" i="1"/>
  <c r="D3" i="1"/>
  <c r="I4" i="1"/>
  <c r="I3" i="1"/>
  <c r="I2" i="1"/>
</calcChain>
</file>

<file path=xl/sharedStrings.xml><?xml version="1.0" encoding="utf-8"?>
<sst xmlns="http://schemas.openxmlformats.org/spreadsheetml/2006/main" count="95" uniqueCount="44">
  <si>
    <t>id</t>
  </si>
  <si>
    <t>substance_id</t>
  </si>
  <si>
    <t>equipment_name</t>
  </si>
  <si>
    <t>quantity_equipment</t>
  </si>
  <si>
    <t>phase_state</t>
  </si>
  <si>
    <t>coord_type</t>
  </si>
  <si>
    <t>equipment_type</t>
  </si>
  <si>
    <t>coordinates</t>
  </si>
  <si>
    <t>length_m</t>
  </si>
  <si>
    <t>diameter_mm</t>
  </si>
  <si>
    <t>wall_thickness_mm</t>
  </si>
  <si>
    <t>volume_m3</t>
  </si>
  <si>
    <t>fill_fraction</t>
  </si>
  <si>
    <t>pressure_mpa</t>
  </si>
  <si>
    <t>spill_coefficient</t>
  </si>
  <si>
    <t>spill_area_m2</t>
  </si>
  <si>
    <t>substance_temperature_c</t>
  </si>
  <si>
    <t>shutdown_time_s</t>
  </si>
  <si>
    <t>evaporation_time_s</t>
  </si>
  <si>
    <t>hazard_component</t>
  </si>
  <si>
    <t>clutter_degree</t>
  </si>
  <si>
    <t>possible_dead</t>
  </si>
  <si>
    <t>possible_injured</t>
  </si>
  <si>
    <t>ж.ф.</t>
  </si>
  <si>
    <t>[0, 0]</t>
  </si>
  <si>
    <t>Участок магистрального нефтепровода Нефтеперерабатывающего завода</t>
  </si>
  <si>
    <t>Участок магистрального нефтепровода Нефтеперерабатывающего завода (от ПК.0 до д. Кувалды, пересечение с а/д, отверстие: "свищ")</t>
  </si>
  <si>
    <t>Участок магистрального нефтепровода Нефтеперерабатывающего завода (от ПК.0 до д. Кувалды, пересечение с а/д, отверстие: "малая трещина")</t>
  </si>
  <si>
    <t>Участок магистрального нефтепровода Нефтеперерабатывающего завода (от ПК.0 до д. Кувалды, пересечение с а/д, отверстие: "средняя трещина")</t>
  </si>
  <si>
    <t>Участок магистрального нефтепровода Нефтеперерабатывающего завода (от ПК.0 до д. Кувалды, пересечение с а/д, отверстие: "гильотинный разрыв")</t>
  </si>
  <si>
    <t>Участок магистрального нефтепровода Нефтеперерабатывающего завода (от д. Кувалды до д. Нов. Мусабай, пересечение с а/д, отверстие: "свищ")</t>
  </si>
  <si>
    <t>Участок магистрального нефтепровода Нефтеперерабатывающего завода (от д. Кувалды до д. Нов. Мусабай, пересечение с а/д, отверстие: "малая трещина")</t>
  </si>
  <si>
    <t>Участок магистрального нефтепровода Нефтеперерабатывающего завода (от д. Кувалды до д. Нов. Мусабай, пересечение с а/д, отверстие: "средняя трещина")</t>
  </si>
  <si>
    <t>Участок магистрального нефтепровода Нефтеперерабатывающего завода (от д. Кувалды до д. Нов. Мусабай, пересечение с а/д, отверстие: "гильотинный разрыв")</t>
  </si>
  <si>
    <t>Участок магистрального нефтепровода Нефтеперерабатывающего завода (от д. Нов. Мусабай до  а/д Альметьевск – Набережные Челны – Нижнекамск , и до ж/д переезда, отверстие: "свищ")</t>
  </si>
  <si>
    <t>Участок магистрального нефтепровода Нефтеперерабатывающего завода (от д. Нов. Мусабай до  а/д Альметьевск – Набережные Челны – Нижнекамск , и до ж/д переезда, отверстие: "малая трещина")</t>
  </si>
  <si>
    <t>Участок магистрального нефтепровода Нефтеперерабатывающего завода (от д. Нов. Мусабай до  а/д Альметьевск – Набережные Челны – Нижнекамск , и до ж/д переезда, отверстие: "средняя трещина")</t>
  </si>
  <si>
    <t>Участок магистрального нефтепровода Нефтеперерабатывающего завода (от д. Нов. Мусабай до  а/д Альметьевск – Набережные Челны – Нижнекамск , и до ж/д переезда, отверстие: "гильотинный разрыв")</t>
  </si>
  <si>
    <t>Участок магистрального нефтепровода Нефтеперерабатывающего завода (от а/д Альметьевск – Набережные Челны – Нижнекамск до ПАО «НКНХ» с пересечением через а/д на д. Биклянь, отверстие: "свищ")</t>
  </si>
  <si>
    <t>Участок магистрального нефтепровода Нефтеперерабатывающего завода (от а/д Альметьевск – Набережные Челны – Нижнекамск до ПАО «НКНХ» с пересечением через а/д на д. Биклянь, отверстие: "малая трещина")</t>
  </si>
  <si>
    <t>Участок магистрального нефтепровода Нефтеперерабатывающего завода (от а/д Альметьевск – Набережные Челны – Нижнекамск до ПАО «НКНХ» с пересечением через а/д на д. Биклянь, отверстие: "средняя трещина")</t>
  </si>
  <si>
    <t>Участок магистрального нефтепровода Нефтеперерабатывающего завода (от а/д Альметьевск – Набережные Челны – Нижнекамск до ПАО «НКНХ» с пересечением через а/д на д. Биклянь, отверстие: "гильотинный разрыв")</t>
  </si>
  <si>
    <t>Насосный агрегат для откачки нефти</t>
  </si>
  <si>
    <t>Камера пуска/приема СОД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</si>
</sst>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Обычный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86AEF1-A835-43E7-8E63-C1CEC91726C0}" name="Таблица2" displayName="Таблица2" ref="A1:W1048414" totalsRowShown="0">
  <autoFilter ref="A1:W1048414" xr:uid="{FD86AEF1-A835-43E7-8E63-C1CEC91726C0}"/>
  <tableColumns count="23">
    <tableColumn id="1" xr3:uid="{F8505ABD-79CE-4B6A-9D66-BB9AD7197A79}" name="id"/>
    <tableColumn id="2" xr3:uid="{FEC89AEE-6880-4DC1-8494-FD1203EEA743}" name="substance_id"/>
    <tableColumn id="3" xr3:uid="{B811839C-BB37-4B7A-BCA4-151CB7FBE73A}" name="equipment_name" dataDxfId="0"/>
    <tableColumn id="4" xr3:uid="{6A0467C8-1103-4F62-9172-B7B57D09DECA}" name="quantity_equipment"/>
    <tableColumn id="5" xr3:uid="{FDB96BBF-CE31-4BED-9D81-B6C45F782B33}" name="phase_state"/>
    <tableColumn id="6" xr3:uid="{D4A804DB-EE4B-49B0-9B40-0BDF726E930B}" name="coord_type"/>
    <tableColumn id="7" xr3:uid="{C9398B47-1253-4879-9670-AF2B19FFF851}" name="equipment_type"/>
    <tableColumn id="8" xr3:uid="{52CA7713-4F1F-4943-B3FF-9C920BE487C1}" name="coordinates"/>
    <tableColumn id="9" xr3:uid="{45D28D24-C14B-4D85-BBC8-C895A63E6312}" name="length_m"/>
    <tableColumn id="10" xr3:uid="{BD7E984D-E442-404E-97F9-854E536607E7}" name="diameter_mm"/>
    <tableColumn id="11" xr3:uid="{4F567D03-02F4-4CEB-A0F6-D72FBA536A1A}" name="wall_thickness_mm"/>
    <tableColumn id="12" xr3:uid="{8D0F9D2C-394B-4648-97F9-4F2F44E367F4}" name="volume_m3"/>
    <tableColumn id="13" xr3:uid="{2C28448C-F9E9-4E6C-A39C-4D84B122A4ED}" name="fill_fraction"/>
    <tableColumn id="14" xr3:uid="{229B4013-FC62-4210-A75B-83A94AD87753}" name="pressure_mpa"/>
    <tableColumn id="15" xr3:uid="{F8D0A73B-46C5-49EE-8D81-6CA8E1BAB25A}" name="spill_coefficient"/>
    <tableColumn id="16" xr3:uid="{2234D4D1-5EDB-41E0-99DD-7C1AB01EAA88}" name="spill_area_m2"/>
    <tableColumn id="17" xr3:uid="{9B37C2AC-B863-4DF6-89FA-44AFF844DCF4}" name="substance_temperature_c"/>
    <tableColumn id="18" xr3:uid="{9F680C0D-FD5C-4BF5-A595-1CA0B19E5CF9}" name="shutdown_time_s"/>
    <tableColumn id="19" xr3:uid="{DC784C98-7AC1-4AF4-A154-53035A7F0953}" name="evaporation_time_s"/>
    <tableColumn id="20" xr3:uid="{CC67E27F-DD59-42F3-B49D-0EEC59B99F5F}" name="hazard_component"/>
    <tableColumn id="21" xr3:uid="{8A2CC64D-3969-4FE8-9C4C-30038DC2067C}" name="clutter_degree"/>
    <tableColumn id="22" xr3:uid="{D71C0D18-4A49-437A-8975-2539B2FB84B3}" name="possible_dead"/>
    <tableColumn id="23" xr3:uid="{1DF7B807-F535-4983-9D24-E923BC8ED422}" name="possible_injured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"/>
  <sheetViews>
    <sheetView tabSelected="1" topLeftCell="A15" zoomScale="85" zoomScaleNormal="85" workbookViewId="0">
      <selection activeCell="S20" sqref="S20"/>
    </sheetView>
  </sheetViews>
  <sheetFormatPr defaultColWidth="0" defaultRowHeight="14.4" x14ac:dyDescent="0.3"/>
  <cols>
    <col min="1" max="1" width="4.33203125" customWidth="1"/>
    <col min="2" max="2" width="13.44140625" customWidth="1"/>
    <col min="3" max="3" width="39.33203125" style="1" customWidth="1"/>
    <col min="4" max="4" width="19.21875" customWidth="1"/>
    <col min="5" max="5" width="12.77734375" customWidth="1"/>
    <col min="6" max="6" width="12.21875" customWidth="1"/>
    <col min="7" max="7" width="16.109375" customWidth="1"/>
    <col min="8" max="8" width="12.5546875" customWidth="1"/>
    <col min="9" max="9" width="10.44140625" customWidth="1"/>
    <col min="10" max="10" width="14.33203125" customWidth="1"/>
    <col min="11" max="11" width="18.77734375" customWidth="1"/>
    <col min="12" max="12" width="12.44140625" customWidth="1"/>
    <col min="13" max="13" width="12.33203125" customWidth="1"/>
    <col min="14" max="14" width="14.33203125" customWidth="1"/>
    <col min="15" max="15" width="15.77734375" customWidth="1"/>
    <col min="16" max="16" width="14.21875" customWidth="1"/>
    <col min="17" max="17" width="24.109375" customWidth="1"/>
    <col min="18" max="18" width="17.33203125" customWidth="1"/>
    <col min="19" max="19" width="19.21875" customWidth="1"/>
    <col min="20" max="20" width="37" customWidth="1"/>
    <col min="21" max="21" width="14.77734375" customWidth="1"/>
    <col min="22" max="22" width="14.44140625" customWidth="1"/>
    <col min="23" max="23" width="16" customWidth="1"/>
    <col min="24" max="16384" width="8.88671875" hidden="1"/>
  </cols>
  <sheetData>
    <row r="1" spans="1:23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57.6" x14ac:dyDescent="0.3">
      <c r="A2">
        <v>1</v>
      </c>
      <c r="B2">
        <v>1</v>
      </c>
      <c r="C2" s="1" t="s">
        <v>26</v>
      </c>
      <c r="D2" s="3">
        <v>1489</v>
      </c>
      <c r="E2" t="s">
        <v>23</v>
      </c>
      <c r="F2">
        <v>1</v>
      </c>
      <c r="G2">
        <v>0</v>
      </c>
      <c r="H2" t="s">
        <v>24</v>
      </c>
      <c r="I2">
        <f>Таблица2[[#This Row],[quantity_equipment]]*0.15</f>
        <v>223.35</v>
      </c>
      <c r="J2">
        <v>600</v>
      </c>
      <c r="K2">
        <v>5</v>
      </c>
      <c r="L2">
        <v>0</v>
      </c>
      <c r="M2">
        <v>1</v>
      </c>
      <c r="N2">
        <v>4</v>
      </c>
      <c r="O2">
        <v>20</v>
      </c>
      <c r="P2">
        <v>0</v>
      </c>
      <c r="Q2">
        <v>90</v>
      </c>
      <c r="R2">
        <v>5</v>
      </c>
      <c r="S2">
        <v>1800</v>
      </c>
      <c r="T2" s="2" t="s">
        <v>25</v>
      </c>
      <c r="U2">
        <v>4</v>
      </c>
      <c r="V2">
        <v>0</v>
      </c>
      <c r="W2">
        <v>1</v>
      </c>
    </row>
    <row r="3" spans="1:23" ht="57.6" x14ac:dyDescent="0.3">
      <c r="A3">
        <v>2</v>
      </c>
      <c r="B3">
        <v>1</v>
      </c>
      <c r="C3" s="1" t="s">
        <v>27</v>
      </c>
      <c r="D3">
        <f>1.28*D2</f>
        <v>1905.92</v>
      </c>
      <c r="E3" t="s">
        <v>23</v>
      </c>
      <c r="F3">
        <v>1</v>
      </c>
      <c r="G3">
        <v>0</v>
      </c>
      <c r="H3" t="s">
        <v>24</v>
      </c>
      <c r="I3">
        <f>Таблица2[[#This Row],[quantity_equipment]]*0.15</f>
        <v>285.88799999999998</v>
      </c>
      <c r="J3">
        <v>600</v>
      </c>
      <c r="K3">
        <v>5</v>
      </c>
      <c r="L3">
        <v>0</v>
      </c>
      <c r="M3">
        <v>1</v>
      </c>
      <c r="N3">
        <v>4</v>
      </c>
      <c r="O3">
        <v>20</v>
      </c>
      <c r="P3">
        <v>0</v>
      </c>
      <c r="Q3">
        <v>90</v>
      </c>
      <c r="R3">
        <v>5</v>
      </c>
      <c r="S3">
        <v>1800</v>
      </c>
      <c r="T3" s="2" t="s">
        <v>25</v>
      </c>
      <c r="U3">
        <v>4</v>
      </c>
      <c r="V3">
        <v>0</v>
      </c>
      <c r="W3">
        <v>1</v>
      </c>
    </row>
    <row r="4" spans="1:23" ht="57.6" x14ac:dyDescent="0.3">
      <c r="A4">
        <v>3</v>
      </c>
      <c r="B4">
        <v>1</v>
      </c>
      <c r="C4" s="1" t="s">
        <v>28</v>
      </c>
      <c r="D4">
        <f>1.89*D2</f>
        <v>2814.21</v>
      </c>
      <c r="E4" t="s">
        <v>23</v>
      </c>
      <c r="F4">
        <v>1</v>
      </c>
      <c r="G4">
        <v>0</v>
      </c>
      <c r="H4" t="s">
        <v>24</v>
      </c>
      <c r="I4">
        <f>Таблица2[[#This Row],[quantity_equipment]]*0.15</f>
        <v>422.13150000000002</v>
      </c>
      <c r="J4">
        <v>600</v>
      </c>
      <c r="K4">
        <v>5</v>
      </c>
      <c r="L4">
        <v>0</v>
      </c>
      <c r="M4">
        <v>1</v>
      </c>
      <c r="N4">
        <v>4</v>
      </c>
      <c r="O4">
        <v>20</v>
      </c>
      <c r="P4">
        <v>0</v>
      </c>
      <c r="Q4">
        <v>90</v>
      </c>
      <c r="R4">
        <v>5</v>
      </c>
      <c r="S4">
        <v>1800</v>
      </c>
      <c r="T4" s="2" t="s">
        <v>25</v>
      </c>
      <c r="U4">
        <v>4</v>
      </c>
      <c r="V4">
        <v>0</v>
      </c>
      <c r="W4">
        <v>1</v>
      </c>
    </row>
    <row r="5" spans="1:23" ht="57.6" x14ac:dyDescent="0.3">
      <c r="A5">
        <v>4</v>
      </c>
      <c r="B5">
        <v>1</v>
      </c>
      <c r="C5" s="1" t="s">
        <v>29</v>
      </c>
      <c r="D5">
        <f>2.36*D2</f>
        <v>3514.04</v>
      </c>
      <c r="E5" t="s">
        <v>23</v>
      </c>
      <c r="F5">
        <v>1</v>
      </c>
      <c r="G5">
        <v>0</v>
      </c>
      <c r="H5" t="s">
        <v>24</v>
      </c>
      <c r="I5">
        <f>Таблица2[[#This Row],[quantity_equipment]]*0.15</f>
        <v>527.10599999999999</v>
      </c>
      <c r="J5">
        <v>600</v>
      </c>
      <c r="K5">
        <v>5</v>
      </c>
      <c r="L5">
        <v>0</v>
      </c>
      <c r="M5">
        <v>1</v>
      </c>
      <c r="N5">
        <v>4</v>
      </c>
      <c r="O5">
        <v>20</v>
      </c>
      <c r="P5">
        <v>0</v>
      </c>
      <c r="Q5">
        <v>90</v>
      </c>
      <c r="R5">
        <v>5</v>
      </c>
      <c r="S5">
        <v>1800</v>
      </c>
      <c r="T5" s="2" t="s">
        <v>25</v>
      </c>
      <c r="U5">
        <v>4</v>
      </c>
      <c r="V5">
        <v>1</v>
      </c>
      <c r="W5">
        <v>1</v>
      </c>
    </row>
    <row r="6" spans="1:23" ht="57.6" x14ac:dyDescent="0.3">
      <c r="A6">
        <v>1</v>
      </c>
      <c r="B6">
        <v>1</v>
      </c>
      <c r="C6" s="1" t="s">
        <v>30</v>
      </c>
      <c r="D6" s="3">
        <v>963</v>
      </c>
      <c r="E6" t="s">
        <v>23</v>
      </c>
      <c r="F6">
        <v>1</v>
      </c>
      <c r="G6">
        <v>0</v>
      </c>
      <c r="H6" t="s">
        <v>24</v>
      </c>
      <c r="I6">
        <f>Таблица2[[#This Row],[quantity_equipment]]*0.15</f>
        <v>144.44999999999999</v>
      </c>
      <c r="J6">
        <v>600</v>
      </c>
      <c r="K6">
        <v>5</v>
      </c>
      <c r="L6">
        <v>0</v>
      </c>
      <c r="M6">
        <v>1</v>
      </c>
      <c r="N6">
        <v>4</v>
      </c>
      <c r="O6">
        <v>20</v>
      </c>
      <c r="P6">
        <v>0</v>
      </c>
      <c r="Q6">
        <v>90</v>
      </c>
      <c r="R6">
        <v>5</v>
      </c>
      <c r="S6">
        <v>1800</v>
      </c>
      <c r="T6" s="2" t="s">
        <v>25</v>
      </c>
      <c r="U6">
        <v>4</v>
      </c>
      <c r="V6">
        <v>0</v>
      </c>
      <c r="W6">
        <v>1</v>
      </c>
    </row>
    <row r="7" spans="1:23" ht="57.6" x14ac:dyDescent="0.3">
      <c r="A7">
        <v>2</v>
      </c>
      <c r="B7">
        <v>1</v>
      </c>
      <c r="C7" s="1" t="s">
        <v>31</v>
      </c>
      <c r="D7">
        <f>1.28*D6</f>
        <v>1232.6400000000001</v>
      </c>
      <c r="E7" t="s">
        <v>23</v>
      </c>
      <c r="F7">
        <v>1</v>
      </c>
      <c r="G7">
        <v>0</v>
      </c>
      <c r="H7" t="s">
        <v>24</v>
      </c>
      <c r="I7">
        <f>Таблица2[[#This Row],[quantity_equipment]]*0.15</f>
        <v>184.89600000000002</v>
      </c>
      <c r="J7">
        <v>600</v>
      </c>
      <c r="K7">
        <v>5</v>
      </c>
      <c r="L7">
        <v>0</v>
      </c>
      <c r="M7">
        <v>1</v>
      </c>
      <c r="N7">
        <v>4</v>
      </c>
      <c r="O7">
        <v>20</v>
      </c>
      <c r="P7">
        <v>0</v>
      </c>
      <c r="Q7">
        <v>90</v>
      </c>
      <c r="R7">
        <v>5</v>
      </c>
      <c r="S7">
        <v>1800</v>
      </c>
      <c r="T7" s="2" t="s">
        <v>25</v>
      </c>
      <c r="U7">
        <v>4</v>
      </c>
      <c r="V7">
        <v>0</v>
      </c>
      <c r="W7">
        <v>1</v>
      </c>
    </row>
    <row r="8" spans="1:23" ht="57.6" x14ac:dyDescent="0.3">
      <c r="A8">
        <v>3</v>
      </c>
      <c r="B8">
        <v>1</v>
      </c>
      <c r="C8" s="1" t="s">
        <v>32</v>
      </c>
      <c r="D8">
        <f>1.89*D6</f>
        <v>1820.07</v>
      </c>
      <c r="E8" t="s">
        <v>23</v>
      </c>
      <c r="F8">
        <v>1</v>
      </c>
      <c r="G8">
        <v>0</v>
      </c>
      <c r="H8" t="s">
        <v>24</v>
      </c>
      <c r="I8">
        <f>Таблица2[[#This Row],[quantity_equipment]]*0.15</f>
        <v>273.01049999999998</v>
      </c>
      <c r="J8">
        <v>600</v>
      </c>
      <c r="K8">
        <v>5</v>
      </c>
      <c r="L8">
        <v>0</v>
      </c>
      <c r="M8">
        <v>1</v>
      </c>
      <c r="N8">
        <v>4</v>
      </c>
      <c r="O8">
        <v>20</v>
      </c>
      <c r="P8">
        <v>0</v>
      </c>
      <c r="Q8">
        <v>90</v>
      </c>
      <c r="R8">
        <v>5</v>
      </c>
      <c r="S8">
        <v>1800</v>
      </c>
      <c r="T8" s="2" t="s">
        <v>25</v>
      </c>
      <c r="U8">
        <v>4</v>
      </c>
      <c r="V8">
        <v>0</v>
      </c>
      <c r="W8">
        <v>1</v>
      </c>
    </row>
    <row r="9" spans="1:23" ht="57.6" x14ac:dyDescent="0.3">
      <c r="A9">
        <v>4</v>
      </c>
      <c r="B9">
        <v>1</v>
      </c>
      <c r="C9" s="1" t="s">
        <v>33</v>
      </c>
      <c r="D9">
        <f>2.36*D6</f>
        <v>2272.6799999999998</v>
      </c>
      <c r="E9" t="s">
        <v>23</v>
      </c>
      <c r="F9">
        <v>1</v>
      </c>
      <c r="G9">
        <v>0</v>
      </c>
      <c r="H9" t="s">
        <v>24</v>
      </c>
      <c r="I9">
        <f>Таблица2[[#This Row],[quantity_equipment]]*0.15</f>
        <v>340.90199999999999</v>
      </c>
      <c r="J9">
        <v>600</v>
      </c>
      <c r="K9">
        <v>5</v>
      </c>
      <c r="L9">
        <v>0</v>
      </c>
      <c r="M9">
        <v>1</v>
      </c>
      <c r="N9">
        <v>4</v>
      </c>
      <c r="O9">
        <v>20</v>
      </c>
      <c r="P9">
        <v>0</v>
      </c>
      <c r="Q9">
        <v>90</v>
      </c>
      <c r="R9">
        <v>5</v>
      </c>
      <c r="S9">
        <v>1800</v>
      </c>
      <c r="T9" s="2" t="s">
        <v>25</v>
      </c>
      <c r="U9">
        <v>4</v>
      </c>
      <c r="V9">
        <v>1</v>
      </c>
      <c r="W9">
        <v>1</v>
      </c>
    </row>
    <row r="10" spans="1:23" ht="72" x14ac:dyDescent="0.3">
      <c r="A10">
        <v>1</v>
      </c>
      <c r="B10">
        <v>1</v>
      </c>
      <c r="C10" s="1" t="s">
        <v>34</v>
      </c>
      <c r="D10" s="3">
        <v>1698</v>
      </c>
      <c r="E10" t="s">
        <v>23</v>
      </c>
      <c r="F10">
        <v>1</v>
      </c>
      <c r="G10">
        <v>0</v>
      </c>
      <c r="H10" t="s">
        <v>24</v>
      </c>
      <c r="I10">
        <f>Таблица2[[#This Row],[quantity_equipment]]*0.15</f>
        <v>254.7</v>
      </c>
      <c r="J10">
        <v>600</v>
      </c>
      <c r="K10">
        <v>5</v>
      </c>
      <c r="L10">
        <v>0</v>
      </c>
      <c r="M10">
        <v>1</v>
      </c>
      <c r="N10">
        <v>4</v>
      </c>
      <c r="O10">
        <v>20</v>
      </c>
      <c r="P10">
        <v>0</v>
      </c>
      <c r="Q10">
        <v>90</v>
      </c>
      <c r="R10">
        <v>5</v>
      </c>
      <c r="S10">
        <v>1800</v>
      </c>
      <c r="T10" s="2" t="s">
        <v>25</v>
      </c>
      <c r="U10">
        <v>4</v>
      </c>
      <c r="V10">
        <v>0</v>
      </c>
      <c r="W10">
        <v>1</v>
      </c>
    </row>
    <row r="11" spans="1:23" ht="72" x14ac:dyDescent="0.3">
      <c r="A11">
        <v>2</v>
      </c>
      <c r="B11">
        <v>1</v>
      </c>
      <c r="C11" s="1" t="s">
        <v>35</v>
      </c>
      <c r="D11">
        <f>1.28*D10</f>
        <v>2173.44</v>
      </c>
      <c r="E11" t="s">
        <v>23</v>
      </c>
      <c r="F11">
        <v>1</v>
      </c>
      <c r="G11">
        <v>0</v>
      </c>
      <c r="H11" t="s">
        <v>24</v>
      </c>
      <c r="I11">
        <f>Таблица2[[#This Row],[quantity_equipment]]*0.15</f>
        <v>326.01600000000002</v>
      </c>
      <c r="J11">
        <v>600</v>
      </c>
      <c r="K11">
        <v>5</v>
      </c>
      <c r="L11">
        <v>0</v>
      </c>
      <c r="M11">
        <v>1</v>
      </c>
      <c r="N11">
        <v>4</v>
      </c>
      <c r="O11">
        <v>20</v>
      </c>
      <c r="P11">
        <v>0</v>
      </c>
      <c r="Q11">
        <v>90</v>
      </c>
      <c r="R11">
        <v>5</v>
      </c>
      <c r="S11">
        <v>1800</v>
      </c>
      <c r="T11" s="2" t="s">
        <v>25</v>
      </c>
      <c r="U11">
        <v>4</v>
      </c>
      <c r="V11">
        <v>0</v>
      </c>
      <c r="W11">
        <v>1</v>
      </c>
    </row>
    <row r="12" spans="1:23" ht="86.4" x14ac:dyDescent="0.3">
      <c r="A12">
        <v>3</v>
      </c>
      <c r="B12">
        <v>1</v>
      </c>
      <c r="C12" s="1" t="s">
        <v>36</v>
      </c>
      <c r="D12">
        <f>1.89*D10</f>
        <v>3209.22</v>
      </c>
      <c r="E12" t="s">
        <v>23</v>
      </c>
      <c r="F12">
        <v>1</v>
      </c>
      <c r="G12">
        <v>0</v>
      </c>
      <c r="H12" t="s">
        <v>24</v>
      </c>
      <c r="I12">
        <f>Таблица2[[#This Row],[quantity_equipment]]*0.15</f>
        <v>481.38299999999992</v>
      </c>
      <c r="J12">
        <v>600</v>
      </c>
      <c r="K12">
        <v>5</v>
      </c>
      <c r="L12">
        <v>0</v>
      </c>
      <c r="M12">
        <v>1</v>
      </c>
      <c r="N12">
        <v>4</v>
      </c>
      <c r="O12">
        <v>20</v>
      </c>
      <c r="P12">
        <v>0</v>
      </c>
      <c r="Q12">
        <v>90</v>
      </c>
      <c r="R12">
        <v>5</v>
      </c>
      <c r="S12">
        <v>1800</v>
      </c>
      <c r="T12" s="2" t="s">
        <v>25</v>
      </c>
      <c r="U12">
        <v>4</v>
      </c>
      <c r="V12">
        <v>1</v>
      </c>
      <c r="W12">
        <v>1</v>
      </c>
    </row>
    <row r="13" spans="1:23" ht="86.4" x14ac:dyDescent="0.3">
      <c r="A13">
        <v>4</v>
      </c>
      <c r="B13">
        <v>1</v>
      </c>
      <c r="C13" s="1" t="s">
        <v>37</v>
      </c>
      <c r="D13">
        <f>2.36*D10</f>
        <v>4007.2799999999997</v>
      </c>
      <c r="E13" t="s">
        <v>23</v>
      </c>
      <c r="F13">
        <v>1</v>
      </c>
      <c r="G13">
        <v>0</v>
      </c>
      <c r="H13" t="s">
        <v>24</v>
      </c>
      <c r="I13">
        <f>Таблица2[[#This Row],[quantity_equipment]]*0.15</f>
        <v>601.09199999999998</v>
      </c>
      <c r="J13">
        <v>600</v>
      </c>
      <c r="K13">
        <v>5</v>
      </c>
      <c r="L13">
        <v>0</v>
      </c>
      <c r="M13">
        <v>1</v>
      </c>
      <c r="N13">
        <v>4</v>
      </c>
      <c r="O13">
        <v>20</v>
      </c>
      <c r="P13">
        <v>0</v>
      </c>
      <c r="Q13">
        <v>90</v>
      </c>
      <c r="R13">
        <v>5</v>
      </c>
      <c r="S13">
        <v>1800</v>
      </c>
      <c r="T13" s="2" t="s">
        <v>25</v>
      </c>
      <c r="U13">
        <v>4</v>
      </c>
      <c r="V13">
        <v>2</v>
      </c>
      <c r="W13">
        <v>1</v>
      </c>
    </row>
    <row r="14" spans="1:23" ht="86.4" x14ac:dyDescent="0.3">
      <c r="A14">
        <v>1</v>
      </c>
      <c r="B14">
        <v>1</v>
      </c>
      <c r="C14" s="1" t="s">
        <v>38</v>
      </c>
      <c r="D14" s="3">
        <v>1100</v>
      </c>
      <c r="E14" t="s">
        <v>23</v>
      </c>
      <c r="F14">
        <v>1</v>
      </c>
      <c r="G14">
        <v>0</v>
      </c>
      <c r="H14" t="s">
        <v>24</v>
      </c>
      <c r="I14">
        <f>Таблица2[[#This Row],[quantity_equipment]]*0.15</f>
        <v>165</v>
      </c>
      <c r="J14">
        <v>600</v>
      </c>
      <c r="K14">
        <v>5</v>
      </c>
      <c r="L14">
        <v>0</v>
      </c>
      <c r="M14">
        <v>1</v>
      </c>
      <c r="N14">
        <v>4</v>
      </c>
      <c r="O14">
        <v>20</v>
      </c>
      <c r="P14">
        <v>0</v>
      </c>
      <c r="Q14">
        <v>90</v>
      </c>
      <c r="R14">
        <v>5</v>
      </c>
      <c r="S14">
        <v>1800</v>
      </c>
      <c r="T14" s="2" t="s">
        <v>25</v>
      </c>
      <c r="U14">
        <v>4</v>
      </c>
      <c r="V14">
        <v>0</v>
      </c>
      <c r="W14">
        <v>1</v>
      </c>
    </row>
    <row r="15" spans="1:23" ht="86.4" x14ac:dyDescent="0.3">
      <c r="A15">
        <v>2</v>
      </c>
      <c r="B15">
        <v>1</v>
      </c>
      <c r="C15" s="1" t="s">
        <v>39</v>
      </c>
      <c r="D15">
        <f>1.28*D14</f>
        <v>1408</v>
      </c>
      <c r="E15" t="s">
        <v>23</v>
      </c>
      <c r="F15">
        <v>1</v>
      </c>
      <c r="G15">
        <v>0</v>
      </c>
      <c r="H15" t="s">
        <v>24</v>
      </c>
      <c r="I15">
        <f>Таблица2[[#This Row],[quantity_equipment]]*0.15</f>
        <v>211.2</v>
      </c>
      <c r="J15">
        <v>600</v>
      </c>
      <c r="K15">
        <v>5</v>
      </c>
      <c r="L15">
        <v>0</v>
      </c>
      <c r="M15">
        <v>1</v>
      </c>
      <c r="N15">
        <v>4</v>
      </c>
      <c r="O15">
        <v>20</v>
      </c>
      <c r="P15">
        <v>0</v>
      </c>
      <c r="Q15">
        <v>90</v>
      </c>
      <c r="R15">
        <v>5</v>
      </c>
      <c r="S15">
        <v>1800</v>
      </c>
      <c r="T15" s="2" t="s">
        <v>25</v>
      </c>
      <c r="U15">
        <v>4</v>
      </c>
      <c r="V15">
        <v>0</v>
      </c>
      <c r="W15">
        <v>1</v>
      </c>
    </row>
    <row r="16" spans="1:23" ht="86.4" x14ac:dyDescent="0.3">
      <c r="A16">
        <v>3</v>
      </c>
      <c r="B16">
        <v>1</v>
      </c>
      <c r="C16" s="1" t="s">
        <v>40</v>
      </c>
      <c r="D16">
        <f>1.89*D14</f>
        <v>2079</v>
      </c>
      <c r="E16" t="s">
        <v>23</v>
      </c>
      <c r="F16">
        <v>1</v>
      </c>
      <c r="G16">
        <v>0</v>
      </c>
      <c r="H16" t="s">
        <v>24</v>
      </c>
      <c r="I16">
        <f>Таблица2[[#This Row],[quantity_equipment]]*0.15</f>
        <v>311.84999999999997</v>
      </c>
      <c r="J16">
        <v>600</v>
      </c>
      <c r="K16">
        <v>5</v>
      </c>
      <c r="L16">
        <v>0</v>
      </c>
      <c r="M16">
        <v>1</v>
      </c>
      <c r="N16">
        <v>4</v>
      </c>
      <c r="O16">
        <v>20</v>
      </c>
      <c r="P16">
        <v>0</v>
      </c>
      <c r="Q16">
        <v>90</v>
      </c>
      <c r="R16">
        <v>5</v>
      </c>
      <c r="S16">
        <v>1800</v>
      </c>
      <c r="T16" s="2" t="s">
        <v>25</v>
      </c>
      <c r="U16">
        <v>4</v>
      </c>
      <c r="V16">
        <v>1</v>
      </c>
      <c r="W16">
        <v>1</v>
      </c>
    </row>
    <row r="17" spans="1:23" ht="86.4" x14ac:dyDescent="0.3">
      <c r="A17">
        <v>4</v>
      </c>
      <c r="B17">
        <v>1</v>
      </c>
      <c r="C17" s="1" t="s">
        <v>41</v>
      </c>
      <c r="D17">
        <f>2.36*D14</f>
        <v>2596</v>
      </c>
      <c r="E17" t="s">
        <v>23</v>
      </c>
      <c r="F17">
        <v>1</v>
      </c>
      <c r="G17">
        <v>0</v>
      </c>
      <c r="H17" t="s">
        <v>24</v>
      </c>
      <c r="I17">
        <f>Таблица2[[#This Row],[quantity_equipment]]*0.15</f>
        <v>389.4</v>
      </c>
      <c r="J17">
        <v>600</v>
      </c>
      <c r="K17">
        <v>5</v>
      </c>
      <c r="L17">
        <v>0</v>
      </c>
      <c r="M17">
        <v>1</v>
      </c>
      <c r="N17">
        <v>4</v>
      </c>
      <c r="O17">
        <v>20</v>
      </c>
      <c r="P17">
        <v>0</v>
      </c>
      <c r="Q17">
        <v>90</v>
      </c>
      <c r="R17">
        <v>5</v>
      </c>
      <c r="S17">
        <v>1800</v>
      </c>
      <c r="T17" s="2" t="s">
        <v>25</v>
      </c>
      <c r="U17">
        <v>4</v>
      </c>
      <c r="V17">
        <v>1</v>
      </c>
      <c r="W17">
        <v>1</v>
      </c>
    </row>
    <row r="18" spans="1:23" ht="28.8" x14ac:dyDescent="0.3">
      <c r="A18">
        <v>3</v>
      </c>
      <c r="B18">
        <v>1</v>
      </c>
      <c r="C18" t="s">
        <v>42</v>
      </c>
      <c r="D18">
        <v>10</v>
      </c>
      <c r="E18" t="s">
        <v>23</v>
      </c>
      <c r="F18">
        <v>1</v>
      </c>
      <c r="G18">
        <v>4</v>
      </c>
      <c r="H18" t="s">
        <v>24</v>
      </c>
      <c r="I18">
        <v>50</v>
      </c>
      <c r="J18">
        <v>100</v>
      </c>
      <c r="K18">
        <v>3</v>
      </c>
      <c r="L18">
        <v>0.2</v>
      </c>
      <c r="M18">
        <v>1</v>
      </c>
      <c r="N18">
        <v>7.0000000000000007E-2</v>
      </c>
      <c r="O18">
        <v>0</v>
      </c>
      <c r="P18">
        <v>60</v>
      </c>
      <c r="Q18">
        <v>50</v>
      </c>
      <c r="R18">
        <v>100</v>
      </c>
      <c r="S18">
        <v>3600</v>
      </c>
      <c r="T18" s="2" t="s">
        <v>25</v>
      </c>
      <c r="U18">
        <v>4</v>
      </c>
      <c r="V18">
        <v>0</v>
      </c>
      <c r="W18">
        <v>1</v>
      </c>
    </row>
    <row r="19" spans="1:23" ht="28.8" x14ac:dyDescent="0.3">
      <c r="A19">
        <v>4</v>
      </c>
      <c r="B19">
        <v>1</v>
      </c>
      <c r="C19" s="1" t="s">
        <v>43</v>
      </c>
      <c r="D19">
        <v>100</v>
      </c>
      <c r="E19" t="s">
        <v>23</v>
      </c>
      <c r="F19">
        <v>1</v>
      </c>
      <c r="G19">
        <v>0</v>
      </c>
      <c r="H19" t="s">
        <v>24</v>
      </c>
      <c r="I19">
        <f>Таблица2[[#This Row],[quantity_equipment]]*0.15</f>
        <v>15</v>
      </c>
      <c r="J19">
        <v>600</v>
      </c>
      <c r="K19">
        <v>5</v>
      </c>
      <c r="L19">
        <v>0</v>
      </c>
      <c r="M19">
        <v>1</v>
      </c>
      <c r="N19">
        <v>4</v>
      </c>
      <c r="O19">
        <v>20</v>
      </c>
      <c r="P19">
        <v>0</v>
      </c>
      <c r="Q19">
        <v>90</v>
      </c>
      <c r="R19">
        <v>5</v>
      </c>
      <c r="S19">
        <v>1800</v>
      </c>
      <c r="T19" s="2" t="s">
        <v>25</v>
      </c>
      <c r="U19">
        <v>4</v>
      </c>
      <c r="V19">
        <v>1</v>
      </c>
      <c r="W19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Equipment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Konstantin Kuznetsov</cp:lastModifiedBy>
  <dcterms:created xsi:type="dcterms:W3CDTF">2026-02-18T14:49:32Z</dcterms:created>
  <dcterms:modified xsi:type="dcterms:W3CDTF">2026-06-26T12:40:01Z</dcterms:modified>
</cp:coreProperties>
</file>